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Checklist" sheetId="2" state="visible" r:id="rId2"/>
    <sheet xmlns:r="http://schemas.openxmlformats.org/officeDocument/2006/relationships" name="Test Summary Report"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9C0006"/>
    </font>
    <font>
      <b val="1"/>
      <color rgb="00375623"/>
    </font>
    <font>
      <b val="1"/>
      <color rgb="00006100"/>
    </font>
    <font>
      <b val="1"/>
      <color rgb="001F4E78"/>
      <sz val="14"/>
    </font>
    <font>
      <b val="1"/>
      <color rgb="001F4E78"/>
    </font>
  </fonts>
  <fills count="7">
    <fill>
      <patternFill/>
    </fill>
    <fill>
      <patternFill patternType="gray125"/>
    </fill>
    <fill>
      <patternFill patternType="solid">
        <fgColor rgb="001F4E78"/>
      </patternFill>
    </fill>
    <fill>
      <patternFill patternType="solid">
        <fgColor rgb="00FFEB9C"/>
      </patternFill>
    </fill>
    <fill>
      <patternFill patternType="solid">
        <fgColor rgb="00FFC7CE"/>
      </patternFill>
    </fill>
    <fill>
      <patternFill patternType="solid">
        <fgColor rgb="00E2EFDA"/>
      </patternFill>
    </fill>
    <fill>
      <patternFill patternType="solid">
        <fgColor rgb="00C6EF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5" borderId="1" applyAlignment="1" pivotButton="0" quotePrefix="0" xfId="0">
      <alignment vertical="top" wrapText="1"/>
    </xf>
    <xf numFmtId="0" fontId="2" fillId="4" borderId="1" applyAlignment="1" pivotButton="0" quotePrefix="0" xfId="0">
      <alignment vertical="top" wrapText="1"/>
    </xf>
    <xf numFmtId="0" fontId="4" fillId="6" borderId="1" applyAlignment="1" pivotButton="0" quotePrefix="0" xfId="0">
      <alignment vertical="top" wrapText="1"/>
    </xf>
    <xf numFmtId="0" fontId="1" fillId="2" borderId="0" applyAlignment="1" pivotButton="0" quotePrefix="0" xfId="0">
      <alignment horizontal="center" vertical="center" wrapText="1"/>
    </xf>
    <xf numFmtId="0" fontId="0" fillId="6" borderId="1"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8" customWidth="1" min="1" max="1"/>
    <col width="26" customWidth="1" min="2" max="2"/>
    <col width="42" customWidth="1" min="3" max="3"/>
    <col width="34" customWidth="1" min="4" max="4"/>
    <col width="46" customWidth="1" min="5" max="5"/>
    <col width="46" customWidth="1" min="6" max="6"/>
    <col width="34" customWidth="1" min="7" max="7"/>
    <col width="10" customWidth="1" min="8" max="8"/>
    <col width="11" customWidth="1" min="9" max="9"/>
    <col width="16" customWidth="1" min="10" max="10"/>
  </cols>
  <sheetData>
    <row r="1">
      <c r="A1" s="1" t="inlineStr">
        <is>
          <t>TC ID</t>
        </is>
      </c>
      <c r="B1" s="1" t="inlineStr">
        <is>
          <t>Nguồn gốc</t>
        </is>
      </c>
      <c r="C1" s="1" t="inlineStr">
        <is>
          <t>Objective</t>
        </is>
      </c>
      <c r="D1" s="1" t="inlineStr">
        <is>
          <t>Input</t>
        </is>
      </c>
      <c r="E1" s="1" t="inlineStr">
        <is>
          <t>Steps</t>
        </is>
      </c>
      <c r="F1" s="1" t="inlineStr">
        <is>
          <t>Expected Result</t>
        </is>
      </c>
      <c r="G1" s="1" t="inlineStr">
        <is>
          <t>Actual Result</t>
        </is>
      </c>
      <c r="H1" s="1" t="inlineStr">
        <is>
          <t>Verdict</t>
        </is>
      </c>
      <c r="I1" s="1" t="inlineStr">
        <is>
          <t>Defect ID</t>
        </is>
      </c>
      <c r="J1" s="1" t="inlineStr">
        <is>
          <t>Video</t>
        </is>
      </c>
    </row>
    <row r="2" ht="120" customHeight="1">
      <c r="A2" s="2" t="inlineStr">
        <is>
          <t>TC01</t>
        </is>
      </c>
      <c r="B2" s="2" t="inlineStr">
        <is>
          <t>Gemini</t>
        </is>
      </c>
      <c r="C2" s="2" t="inlineStr">
        <is>
          <t>Xác minh phím 1/2/3 kích hoạt đúng cấp gió tương ứng và phím 0 ngắt động cơ hoàn toàn.</t>
        </is>
      </c>
      <c r="D2" s="2" t="inlineStr">
        <is>
          <t>Nguồn 220V/50Hz; nhấn lần lượt 1, 2, 3, 0 trên đế quạt.</t>
        </is>
      </c>
      <c r="E2" s="2" t="inlineStr">
        <is>
          <t>1. Cắm phích vào nguồn.
2. Nhấn phím 1, chờ 5s.
3. Nhấn phím 2, chờ 5s.
4. Nhấn phím 3, chờ 5s.
5. Nhấn phím 0.</t>
        </is>
      </c>
      <c r="F2" s="2" t="inlineStr">
        <is>
          <t>Mỗi lần nhấn: phím mới chìm xuống, phím cũ nảy lên hết. Tốc độ tăng dần qua 3 cấp. Nhấn 0 thì động cơ ngắt, cánh giảm tốc theo quán tính rồi dừng. Không rè, không rung bất thường.</t>
        </is>
      </c>
      <c r="G2" s="2" t="inlineStr"/>
      <c r="H2" s="3" t="inlineStr">
        <is>
          <t>Chưa chạy</t>
        </is>
      </c>
      <c r="I2" s="2" t="inlineStr"/>
      <c r="J2" s="2" t="inlineStr">
        <is>
          <t>Video 1</t>
        </is>
      </c>
    </row>
    <row r="3" ht="120" customHeight="1">
      <c r="A3" s="2" t="inlineStr">
        <is>
          <t>TC02</t>
        </is>
      </c>
      <c r="B3" s="2" t="inlineStr">
        <is>
          <t>Gemini</t>
        </is>
      </c>
      <c r="C3" s="2" t="inlineStr">
        <is>
          <t>Xác minh cơ chế quay quét tự động và khả năng cố định hướng thổi bằng chốt tuốc năng.</t>
        </is>
      </c>
      <c r="D3" s="2" t="inlineStr">
        <is>
          <t>Quạt chạy số 2; ấn xuống / kéo lên chốt tuốc năng.</t>
        </is>
      </c>
      <c r="E3" s="2" t="inlineStr">
        <is>
          <t>1. Nhấn phím 2, chờ quạt chạy ổn định.
2. Ấn chốt tuốc năng xuống.
3. Theo dõi tối thiểu 2 chu kỳ quét trái-phải.
4. Kéo chốt lên khi đầu quạt đang ở góc lệch bất kỳ.</t>
        </is>
      </c>
      <c r="F3" s="2" t="inlineStr">
        <is>
          <t>Ấn chốt: đầu quạt quét mượt trái-phải, biên độ khoảng 80-90 độ, không va đập, không kẹt bánh răng.
Kéo chốt: dừng quét ngay tại vị trí hiện tại, cánh vẫn quay bình thường.</t>
        </is>
      </c>
      <c r="G3" s="2" t="inlineStr"/>
      <c r="H3" s="3" t="inlineStr">
        <is>
          <t>Chưa chạy</t>
        </is>
      </c>
      <c r="I3" s="2" t="inlineStr"/>
      <c r="J3" s="2" t="inlineStr">
        <is>
          <t>Video 2</t>
        </is>
      </c>
    </row>
    <row r="4" ht="120" customHeight="1">
      <c r="A4" s="2" t="inlineStr">
        <is>
          <t>TC03</t>
        </is>
      </c>
      <c r="B4" s="2" t="inlineStr">
        <is>
          <t>Gemini</t>
        </is>
      </c>
      <c r="C4" s="2" t="inlineStr">
        <is>
          <t>Đảm bảo khớp gập cổ quạt giữ được góc ngẩng/cúi dưới áp lực gió ở tốc độ cao nhất.</t>
        </is>
      </c>
      <c r="D4" s="2" t="inlineStr">
        <is>
          <t>Quạt chạy số 3; lực tay nâng/hạ lồng quạt.</t>
        </is>
      </c>
      <c r="E4" s="2" t="inlineStr">
        <is>
          <t>1. Nhấn phím 3.
2. Đẩy lồng quạt ngửa lên góc tối đa, buông tay, chờ 60s.
3. Ấn lồng quạt cúi xuống góc tối đa, buông tay, chờ 60s.</t>
        </is>
      </c>
      <c r="F4" s="2" t="inlineStr">
        <is>
          <t>Khớp có lực ma sát vừa đủ, chuyển động chắc. Sau khi buông tay, góc giữ nguyên trong 60s, không tự trôi hay gục xuống dưới phản lực gió.</t>
        </is>
      </c>
      <c r="G4" s="2" t="inlineStr"/>
      <c r="H4" s="3" t="inlineStr">
        <is>
          <t>Chưa chạy</t>
        </is>
      </c>
      <c r="I4" s="2" t="inlineStr"/>
      <c r="J4" s="2" t="inlineStr"/>
    </row>
    <row r="5" ht="120" customHeight="1">
      <c r="A5" s="2" t="inlineStr">
        <is>
          <t>TC05</t>
        </is>
      </c>
      <c r="B5" s="2" t="inlineStr">
        <is>
          <t>Gemini (đã giảm liều: 20s -&gt; 5s)</t>
        </is>
      </c>
      <c r="C5" s="2" t="inlineStr">
        <is>
          <t>Kiểm tra ly hợp trượt của hộp bánh răng đảo gió khi hành trình quét bị chặn.</t>
        </is>
      </c>
      <c r="D5" s="2" t="inlineStr">
        <is>
          <t>Quạt chạy số 3, đang quét; giữ lồng quạt bằng tay trong 5 giây.</t>
        </is>
      </c>
      <c r="E5" s="2" t="inlineStr">
        <is>
          <t>1. Bật số 3, ấn tuốc năng cho quạt quét.
2. Khi đầu quạt đang xoay, giữ nhẹ lồng quạt chặn hành trình ĐÚNG 5 GIÂY.
3. Thả tay, quan sát tiếp 2 chu kỳ quét.</t>
        </is>
      </c>
      <c r="F5" s="2" t="inlineStr">
        <is>
          <t>Ly hợp trượt hoạt động, bánh răng không vỡ. Không có mùi khét, hộp nhông không nóng bất thường. Sau khi thả, quạt quét lại bình thường, không lệch biên độ.</t>
        </is>
      </c>
      <c r="G5" s="2" t="inlineStr"/>
      <c r="H5" s="3" t="inlineStr">
        <is>
          <t>Chưa chạy</t>
        </is>
      </c>
      <c r="I5" s="2" t="inlineStr"/>
      <c r="J5" s="2" t="inlineStr"/>
    </row>
    <row r="6" ht="120" customHeight="1">
      <c r="A6" s="2" t="inlineStr">
        <is>
          <t>TC06</t>
        </is>
      </c>
      <c r="B6" s="2" t="inlineStr">
        <is>
          <t>Claude (thay test kẹt cánh không an toàn)</t>
        </is>
      </c>
      <c r="C6" s="2" t="inlineStr">
        <is>
          <t>Đo độ ồn ở từng cấp gió để phát hiện tiếng cơ khí bất thường và kiểm tra mức ồn có tăng hợp lý theo cấp không.</t>
        </is>
      </c>
      <c r="D6" s="2" t="inlineStr">
        <is>
          <t>App đo dB trên điện thoại, đặt cách quạt 1m ngang tầm bầu quạt; phòng yên tĩnh.</t>
        </is>
      </c>
      <c r="E6" s="2" t="inlineStr">
        <is>
          <t>1. Đo độ ồn nền của phòng khi quạt tắt, ghi lại.
2. Bật số 1, chờ 30s, đo 10s lấy giá trị trung bình.
3. Lặp lại với số 2 và số 3.
4. Nghe kỹ tiếng lạch cạch, rít hoặc va đập theo nhịp.</t>
        </is>
      </c>
      <c r="F6" s="2" t="inlineStr">
        <is>
          <t>Độ ồn tăng dần theo cấp và cao hơn nền phòng. Không có tiếng lạch cạch theo nhịp, không tiếng rít kim loại, không tiếng va đập từ hộp tuốc năng.</t>
        </is>
      </c>
      <c r="G6" s="2" t="inlineStr"/>
      <c r="H6" s="3" t="inlineStr">
        <is>
          <t>Chưa chạy</t>
        </is>
      </c>
      <c r="I6" s="2" t="inlineStr"/>
      <c r="J6" s="2" t="inlineStr">
        <is>
          <t>Video 5</t>
        </is>
      </c>
    </row>
    <row r="7" ht="120" customHeight="1">
      <c r="A7" s="2" t="inlineStr">
        <is>
          <t>TC07</t>
        </is>
      </c>
      <c r="B7" s="2" t="inlineStr">
        <is>
          <t>Gemini</t>
        </is>
      </c>
      <c r="C7" s="2" t="inlineStr">
        <is>
          <t>Xác minh động cơ khởi động lại an toàn khi mất điện và có điện lại đột ngột trong lúc công tắc vẫn ở vị trí bật.</t>
        </is>
      </c>
      <c r="D7" s="2" t="inlineStr">
        <is>
          <t>Quạt đang chạy số 3; rút phích rồi cắm lại sau 3 giây.</t>
        </is>
      </c>
      <c r="E7" s="2" t="inlineStr">
        <is>
          <t>1. Bật quạt số 3, chạy ổn định 30s.
2. Rút phích khỏi ổ điện.
3. Đếm 3 giây.
4. Cắm lại phích trong khi phím 3 vẫn chìm.</t>
        </is>
      </c>
      <c r="F7" s="2" t="inlineStr">
        <is>
          <t>Không phát tia lửa lớn tại chân phích. Động cơ khởi động lại êm, cánh đạt lại tốc độ định mức, không kẹt rotor, không có tiếng ù kéo dài.</t>
        </is>
      </c>
      <c r="G7" s="2" t="inlineStr"/>
      <c r="H7" s="3" t="inlineStr">
        <is>
          <t>Chưa chạy</t>
        </is>
      </c>
      <c r="I7" s="2" t="inlineStr"/>
      <c r="J7" s="2" t="inlineStr"/>
    </row>
    <row r="8" ht="120" customHeight="1">
      <c r="A8" s="2" t="inlineStr">
        <is>
          <t>TC09</t>
        </is>
      </c>
      <c r="B8" s="2" t="inlineStr">
        <is>
          <t>Sinh viên</t>
        </is>
      </c>
      <c r="C8" s="2" t="inlineStr">
        <is>
          <t>Xác minh ba cấp gió thực sự khác nhau về lưu lượng, không phải chỉ khác trên nhãn phím.</t>
        </is>
      </c>
      <c r="D8" s="2" t="inlineStr">
        <is>
          <t>Dải giấy mỏng treo cố định cách mặt lồng quạt 50cm, ngang tâm trục.</t>
        </is>
      </c>
      <c r="E8" s="2" t="inlineStr">
        <is>
          <t>1. Treo dải giấy, đánh dấu vị trí nghỉ.
2. Bật số 1, chờ 15s, chụp ảnh góc bay của dải giấy.
3. Lặp lại với số 2 và số 3, cùng khung hình, cùng vị trí máy.
4. So sánh 3 ảnh.</t>
        </is>
      </c>
      <c r="F8" s="2" t="inlineStr">
        <is>
          <t>Góc bay của dải giấy tăng rõ rệt qua từng cấp. Không có hai cấp nào cho góc bay gần như bằng nhau.</t>
        </is>
      </c>
      <c r="G8" s="2" t="inlineStr"/>
      <c r="H8" s="3" t="inlineStr">
        <is>
          <t>Chưa chạy</t>
        </is>
      </c>
      <c r="I8" s="2" t="inlineStr"/>
      <c r="J8" s="2" t="inlineStr">
        <is>
          <t>Video 3</t>
        </is>
      </c>
    </row>
    <row r="9" ht="120" customHeight="1">
      <c r="A9" s="2" t="inlineStr">
        <is>
          <t>TC10</t>
        </is>
      </c>
      <c r="B9" s="4" t="inlineStr">
        <is>
          <t>Sinh viên — EDGE CASE AI BỎ SÓT</t>
        </is>
      </c>
      <c r="C9" s="2" t="inlineStr">
        <is>
          <t>Kiểm tra cụm công tắc khi chuyển cấp với khoảng cách thời gian rất ngắn, mô phỏng thao tác tay thật của người dùng.</t>
        </is>
      </c>
      <c r="D9" s="2" t="inlineStr">
        <is>
          <t>Bấm phím 1 rồi bấm phím 2 cách nhau dưới 0,5 giây.</t>
        </is>
      </c>
      <c r="E9" s="2" t="inlineStr">
        <is>
          <t>1. Quạt đã cắm điện, ở trạng thái 0.
2. Bấm phím 1 rồi bấm ngay phím 2 trong vòng dưới 0,5 giây.
3. Quan sát trạng thái phím và động cơ.
4. Lặp lại 5 lần để xác nhận tái hiện được.</t>
        </is>
      </c>
      <c r="F9" s="2" t="inlineStr">
        <is>
          <t>Quạt chuyển sang cấp 2 và tiếp tục chạy. Không được rơi về trạng thái tắt, không được kẹt giữa hai phím.</t>
        </is>
      </c>
      <c r="G9" s="2" t="inlineStr">
        <is>
          <t>Quạt tắt hẳn thay vì chuyển cấp; phím 1 nảy lên nhưng phím 2 không khóa được vị trí.</t>
        </is>
      </c>
      <c r="H9" s="5" t="inlineStr">
        <is>
          <t>Fail</t>
        </is>
      </c>
      <c r="I9" s="2" t="inlineStr">
        <is>
          <t>DEF-01</t>
        </is>
      </c>
      <c r="J9" s="2" t="inlineStr">
        <is>
          <t>Video 4</t>
        </is>
      </c>
    </row>
    <row r="10" ht="120" customHeight="1">
      <c r="A10" s="2" t="inlineStr">
        <is>
          <t>TC11</t>
        </is>
      </c>
      <c r="B10" s="2" t="inlineStr">
        <is>
          <t>Sinh viên</t>
        </is>
      </c>
      <c r="C10" s="2" t="inlineStr">
        <is>
          <t>Xác minh động cơ tự khởi động được ở cấp thấp nhất khi nguội, tức tụ đề còn đủ mô-men khởi động.</t>
        </is>
      </c>
      <c r="D10" s="2" t="inlineStr">
        <is>
          <t>Quạt đã nghỉ tối thiểu 10 phút; bật thẳng số 1, không dùng tay quay mồi.</t>
        </is>
      </c>
      <c r="E10" s="2" t="inlineStr">
        <is>
          <t>1. Để quạt nghỉ 10 phút.
2. Cắm điện, nhấn thẳng phím 1.
3. Bấm giờ, quan sát cánh quạt.</t>
        </is>
      </c>
      <c r="F10" s="2" t="inlineStr">
        <is>
          <t>Cánh tự quay trong vòng 2 giây, không cần quay mồi, không phát tiếng ù kéo dài.</t>
        </is>
      </c>
      <c r="G10" s="2" t="inlineStr">
        <is>
          <t>Cánh tự quay sau khoảng 1 giây, không có tiếng ù.</t>
        </is>
      </c>
      <c r="H10" s="6" t="inlineStr">
        <is>
          <t>Pass</t>
        </is>
      </c>
      <c r="I10" s="2" t="inlineStr"/>
      <c r="J10" s="2" t="inlineStr"/>
    </row>
    <row r="11" ht="120" customHeight="1">
      <c r="A11" s="2" t="inlineStr">
        <is>
          <t>TC12</t>
        </is>
      </c>
      <c r="B11" s="2" t="inlineStr">
        <is>
          <t>Sinh viên</t>
        </is>
      </c>
      <c r="C11" s="2" t="inlineStr">
        <is>
          <t>Xác minh cơ cấu đảo gió hoạt động và giữ nguyên biên độ quét ở cả ba cấp tốc độ.</t>
        </is>
      </c>
      <c r="D11" s="2" t="inlineStr">
        <is>
          <t>Ấn tuốc năng lần lượt khi quạt chạy số 1, số 2, số 3.</t>
        </is>
      </c>
      <c r="E11" s="2" t="inlineStr">
        <is>
          <t>1. Bật số 1, ấn tuốc năng, đánh dấu hai điểm cuối hành trình quét trên tường.
2. Nhấn 0, chuyển số 2, lặp lại phép đo.
3. Lặp lại với số 3.
4. So sánh biên độ ba lần đo.</t>
        </is>
      </c>
      <c r="F11" s="2" t="inlineStr">
        <is>
          <t>Quạt quét được ở cả ba cấp. Biên độ quét ở ba cấp bằng nhau, sai lệch không đáng kể.</t>
        </is>
      </c>
      <c r="G11" s="2" t="inlineStr">
        <is>
          <t>Quét được ở cả ba cấp, biên độ ba lần đo như nhau.</t>
        </is>
      </c>
      <c r="H11" s="6" t="inlineStr">
        <is>
          <t>Pass</t>
        </is>
      </c>
      <c r="I11" s="2" t="inlineStr"/>
      <c r="J11" s="2" t="inlineStr"/>
    </row>
    <row r="12" ht="120" customHeight="1">
      <c r="A12" s="2" t="inlineStr">
        <is>
          <t>TC13</t>
        </is>
      </c>
      <c r="B12" s="4" t="inlineStr">
        <is>
          <t>Sinh viên — EDGE CASE AI BỎ SÓT</t>
        </is>
      </c>
      <c r="C12" s="2" t="inlineStr">
        <is>
          <t>Kiểm tra khe hở nan lồng bảo vệ theo yêu cầu an toàn của TCVN 5699-2-80 (tương đương IEC 60335-2-80): vật thăm dò không được chạm tới cánh.</t>
        </is>
      </c>
      <c r="D12" s="2" t="inlineStr">
        <is>
          <t>Quạt đã RÚT ĐIỆN; dùng ngón út để xấp xỉ que thử tiêu chuẩn (test probe B, khớp nối, đường kính 12mm).
LƯU Ý: phép thử xấp xỉ, KHÔNG phải phép thử hợp chuẩn.</t>
        </is>
      </c>
      <c r="E12" s="2" t="inlineStr">
        <is>
          <t>1. Rút phích điện, chờ cánh dừng hẳn.
2. Thử đưa ngón út qua khe nan ở nhiều vị trí: tâm lồng, rìa lồng, khe giữa lồng trước và lồng sau.
3. Ghi nhận có chạm được vào cánh không.</t>
        </is>
      </c>
      <c r="F12" s="2" t="inlineStr">
        <is>
          <t>Không vị trí nào đưa ngón tay chạm được vào cánh quạt.</t>
        </is>
      </c>
      <c r="G12" s="2" t="inlineStr">
        <is>
          <t>Không chạm được cánh ở mọi vị trí thử.</t>
        </is>
      </c>
      <c r="H12" s="6" t="inlineStr">
        <is>
          <t>Pass</t>
        </is>
      </c>
      <c r="I12" s="2" t="inlineStr"/>
      <c r="J12" s="2" t="inlineStr"/>
    </row>
    <row r="13" ht="120" customHeight="1">
      <c r="A13" s="2" t="inlineStr">
        <is>
          <t>TC14</t>
        </is>
      </c>
      <c r="B13" s="4" t="inlineStr">
        <is>
          <t>Sinh viên — EDGE CASE AI BỎ SÓT</t>
        </is>
      </c>
      <c r="C13" s="2" t="inlineStr">
        <is>
          <t>Kiểm tra yêu cầu an toàn: lồng bảo vệ chỉ được tháo ra khi dùng dụng cụ, theo TCVN 5699-2-80.</t>
        </is>
      </c>
      <c r="D13" s="2" t="inlineStr">
        <is>
          <t>Quạt đã RÚT ĐIỆN; chỉ dùng tay không, không dùng tua vít hay kìm.</t>
        </is>
      </c>
      <c r="E13" s="2" t="inlineStr">
        <is>
          <t>1. Rút phích điện, chờ cánh dừng hẳn.
2. Thử bật các kẹp/khóa lồng bằng tay không.
3. Thử xoay vòng khóa lồng bằng tay không.
4. Ghi nhận có tháo được lồng trước ra không.</t>
        </is>
      </c>
      <c r="F13" s="2" t="inlineStr">
        <is>
          <t>Không tháo được lồng bảo vệ nếu không dùng dụng cụ.</t>
        </is>
      </c>
      <c r="G13" s="2" t="inlineStr">
        <is>
          <t>Bật được kẹp và tháo rời lồng trước hoàn toàn bằng tay không.</t>
        </is>
      </c>
      <c r="H13" s="5" t="inlineStr">
        <is>
          <t>Fail</t>
        </is>
      </c>
      <c r="I13" s="2" t="inlineStr">
        <is>
          <t>DEF-02</t>
        </is>
      </c>
      <c r="J13" s="2" t="inlineStr">
        <is>
          <t>Video 5</t>
        </is>
      </c>
    </row>
    <row r="14" ht="120" customHeight="1">
      <c r="A14" s="2" t="inlineStr">
        <is>
          <t>TC15</t>
        </is>
      </c>
      <c r="B14" s="2" t="inlineStr">
        <is>
          <t>Sinh viên</t>
        </is>
      </c>
      <c r="C14" s="2" t="inlineStr">
        <is>
          <t>Kiểm tra cơ cấu tuốc năng có tự phục hồi đúng biên độ sau khi bị bẻ vượt quá hành trình quét.</t>
        </is>
      </c>
      <c r="D14" s="2" t="inlineStr">
        <is>
          <t>Quạt chạy số 2, đang quét; bẻ ngang đầu quạt vượt quá điểm cuối hành trình rồi thả.</t>
        </is>
      </c>
      <c r="E14" s="2" t="inlineStr">
        <is>
          <t>1. Bật số 2, ấn tuốc năng, đánh dấu hai điểm cuối hành trình trên tường.
2. Bẻ nhẹ đầu quạt vượt quá điểm cuối khoảng 15 độ rồi thả tay.
3. Theo dõi 3 chu kỳ quét tiếp theo, đo lại biên độ.</t>
        </is>
      </c>
      <c r="F14" s="2" t="inlineStr">
        <is>
          <t>Quạt quét lại đúng biên độ ban đầu, hai điểm cuối trùng với vạch đánh dấu.</t>
        </is>
      </c>
      <c r="G14" s="2" t="inlineStr">
        <is>
          <t>Biên độ quét sau khi bẻ bị lệch so với vạch đánh dấu ban đầu, không tự phục hồi.</t>
        </is>
      </c>
      <c r="H14" s="5" t="inlineStr">
        <is>
          <t>Fail</t>
        </is>
      </c>
      <c r="I14" s="2" t="inlineStr">
        <is>
          <t>DEF-03</t>
        </is>
      </c>
      <c r="J14" s="2" t="inlineStr">
        <is>
          <t>Video 4</t>
        </is>
      </c>
    </row>
    <row r="15" ht="120" customHeight="1">
      <c r="A15" s="2" t="inlineStr">
        <is>
          <t>TC16</t>
        </is>
      </c>
      <c r="B15" s="2" t="inlineStr">
        <is>
          <t>Claude (bổ sung)</t>
        </is>
      </c>
      <c r="C15" s="2" t="inlineStr">
        <is>
          <t>Kiểm tra tính toàn vẹn của dây nguồn, phích cắm và cơ cấu giữ dây tại điểm vào thân quạt, theo yêu cầu an toàn chung TCVN 5699-1 (IEC 60335-1).</t>
        </is>
      </c>
      <c r="D15" s="2" t="inlineStr">
        <is>
          <t>Quạt đã RÚT ĐIỆN; quan sát bằng mắt và kéo nhẹ bằng tay, không dùng dụng cụ.</t>
        </is>
      </c>
      <c r="E15" s="2" t="inlineStr">
        <is>
          <t>1. Rút phích điện.
2. Vuốt dọc toàn bộ chiều dài dây, tìm vết nứt, chai cứng, gập gãy, cháy xém.
3. Kiểm tra chân phích: thẳng hay cong, chắc hay lỏng, có gỉ không.
4. Một tay giữ thân quạt, tay kia kéo nhẹ dây tại điểm vào thân, quan sát dây có xê dịch không.
5. Kiểm tra điểm nối dây với công tắc nếu nhìn thấy được.</t>
        </is>
      </c>
      <c r="F15" s="2" t="inlineStr">
        <is>
          <t>Vỏ cách điện liền lạc trên toàn bộ chiều dài, không nứt, không chai, không cháy. Chân phích thẳng và chắc. Dây không xê dịch tại điểm vào thân, không lộ lõi đồng, cơ cấu giữ dây còn tác dụng.</t>
        </is>
      </c>
      <c r="G15" s="2" t="inlineStr"/>
      <c r="H15" s="3" t="inlineStr">
        <is>
          <t>Chưa chạy</t>
        </is>
      </c>
      <c r="I15" s="2" t="inlineStr"/>
      <c r="J15" s="2" t="inlineStr">
        <is>
          <t>Video 6 (dự phòng)</t>
        </is>
      </c>
    </row>
    <row r="16" ht="120" customHeight="1">
      <c r="A16" s="2" t="inlineStr">
        <is>
          <t>TC17</t>
        </is>
      </c>
      <c r="B16" s="2" t="inlineStr">
        <is>
          <t>Claude (bổ sung)</t>
        </is>
      </c>
      <c r="C16" s="2" t="inlineStr">
        <is>
          <t>Kiểm tra độ cân bằng của cánh và độ ổn định của đế: quạt không được tự dịch chuyển do rung khi chạy ở tốc độ cao nhất kèm đảo gió.</t>
        </is>
      </c>
      <c r="D16" s="2" t="inlineStr">
        <is>
          <t>Sàn phẳng nhẵn; quạt chạy số 3 kèm đảo gió liên tục 10 phút; một đồng xu đặt trên đế quạt.</t>
        </is>
      </c>
      <c r="E16" s="2" t="inlineStr">
        <is>
          <t>1. Đặt quạt trên sàn phẳng, dùng băng keo giấy đánh dấu viền chân đế.
2. Đặt một đồng xu nằm trên mặt đế quạt.
3. Bật số 3, ấn tuốc năng cho quạt quét.
4. Chạy liên tục 10 phút, quan sát đồng xu và rung động thân quạt.
5. Tắt quạt, đo khoảng dịch chuyển của chân đế so với vạch đánh dấu.</t>
        </is>
      </c>
      <c r="F16" s="2" t="inlineStr">
        <is>
          <t>Đồng xu không trượt khỏi đế và không rơi. Chân đế dịch chuyển không quá 5mm sau 10 phút. Thân quạt không rung lắc thấy rõ bằng mắt.</t>
        </is>
      </c>
      <c r="G16" s="2" t="inlineStr"/>
      <c r="H16" s="3" t="inlineStr">
        <is>
          <t>Chưa chạy</t>
        </is>
      </c>
      <c r="I16" s="2" t="inlineStr"/>
      <c r="J16" s="2" t="inlineStr">
        <is>
          <t>Video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5" customWidth="1" min="1" max="1"/>
    <col width="48" customWidth="1" min="2" max="2"/>
    <col width="40" customWidth="1" min="3" max="3"/>
    <col width="16" customWidth="1" min="4" max="4"/>
    <col width="52" customWidth="1" min="5" max="5"/>
  </cols>
  <sheetData>
    <row r="1">
      <c r="A1" s="7" t="inlineStr">
        <is>
          <t>#</t>
        </is>
      </c>
      <c r="B1" s="7" t="inlineStr">
        <is>
          <t>Hạng mục bắt buộc của R3</t>
        </is>
      </c>
      <c r="C1" s="7" t="inlineStr">
        <is>
          <t>Yêu cầu</t>
        </is>
      </c>
      <c r="D1" s="7" t="inlineStr">
        <is>
          <t>Trạng thái</t>
        </is>
      </c>
      <c r="E1" s="7" t="inlineStr">
        <is>
          <t>Ghi chú</t>
        </is>
      </c>
    </row>
    <row r="2">
      <c r="A2" s="2" t="n">
        <v>1</v>
      </c>
      <c r="B2" s="2" t="inlineStr">
        <is>
          <t>Ảnh thiết bị + thẻ sinh viên cùng khung hình</t>
        </is>
      </c>
      <c r="C2" s="2" t="inlineStr">
        <is>
          <t>1 ảnh .jpg</t>
        </is>
      </c>
      <c r="D2" s="3" t="inlineStr">
        <is>
          <t>Một phần</t>
        </is>
      </c>
      <c r="E2" s="2" t="inlineStr">
        <is>
          <t>Đã có ảnh tem + thẻ SV (device_rating_plate_with_id.jpg). CẦN THÊM 1 ảnh thấy TOÀN BỘ cái quạt cùng thẻ SV, và thẻ không bị ngón tay che số.</t>
        </is>
      </c>
    </row>
    <row r="3">
      <c r="A3" s="2" t="n">
        <v>2</v>
      </c>
      <c r="B3" s="2" t="inlineStr">
        <is>
          <t>Khai báo hãng / model / năm / serial</t>
        </is>
      </c>
      <c r="C3" s="2" t="inlineStr">
        <is>
          <t>Che 4 ký tự giữa của serial</t>
        </is>
      </c>
      <c r="D3" s="3" t="inlineStr">
        <is>
          <t>Xong</t>
        </is>
      </c>
      <c r="E3" s="2" t="inlineStr">
        <is>
          <t>SENKO, quạt bàn 29cm, 07-2022, Lô 107. Thiết bị không có số serial riêng — đã ghi rõ thay vì bịa.</t>
        </is>
      </c>
    </row>
    <row r="4">
      <c r="A4" s="2" t="n">
        <v>3</v>
      </c>
      <c r="B4" s="2" t="inlineStr">
        <is>
          <t>15 test case đủ 6 cột</t>
        </is>
      </c>
      <c r="C4" s="2" t="inlineStr">
        <is>
          <t>Objective/Input/Steps/Expected/Actual/Verdict</t>
        </is>
      </c>
      <c r="D4" s="8" t="inlineStr">
        <is>
          <t>Xong 15/15</t>
        </is>
      </c>
      <c r="E4" s="2" t="inlineStr">
        <is>
          <t>ID không liên tục vì TC04, TC08 và TC06 gốc đã bị loại — lý do ở sheet Test Summary Report</t>
        </is>
      </c>
    </row>
    <row r="5">
      <c r="A5" s="2" t="n">
        <v>4</v>
      </c>
      <c r="B5" s="2" t="inlineStr">
        <is>
          <t>≥3 edge case AI không tìm ra</t>
        </is>
      </c>
      <c r="C5" s="2" t="inlineStr">
        <is>
          <t>TC10, TC13, TC14</t>
        </is>
      </c>
      <c r="D5" s="8" t="inlineStr">
        <is>
          <t>Xong</t>
        </is>
      </c>
      <c r="E5" s="2" t="inlineStr">
        <is>
          <t>Xem R3_edge_cases_explanation.md</t>
        </is>
      </c>
    </row>
    <row r="6">
      <c r="A6" s="2" t="n">
        <v>5</v>
      </c>
      <c r="B6" s="2" t="inlineStr">
        <is>
          <t>Ảnh chat AI chứng minh AI không sinh ra 3 case đó</t>
        </is>
      </c>
      <c r="C6" s="2" t="inlineStr">
        <is>
          <t>Screenshot</t>
        </is>
      </c>
      <c r="D6" s="3" t="inlineStr">
        <is>
          <t>Xong</t>
        </is>
      </c>
      <c r="E6" s="2" t="inlineStr">
        <is>
          <t>6 ảnh: evidence/gemini_testcases_1..6.png — đủ cả 8 test case TC01-TC08</t>
        </is>
      </c>
    </row>
    <row r="7">
      <c r="A7" s="2" t="n">
        <v>6</v>
      </c>
      <c r="B7" s="2" t="inlineStr">
        <is>
          <t>Giải thích bằng chữ vì sao AI bỏ sót</t>
        </is>
      </c>
      <c r="C7" s="2" t="inlineStr">
        <is>
          <t>Văn bản</t>
        </is>
      </c>
      <c r="D7" s="8" t="inlineStr">
        <is>
          <t>Có bản nháp</t>
        </is>
      </c>
      <c r="E7" s="2" t="inlineStr">
        <is>
          <t>Sinh viên viết lại bằng lời mình</t>
        </is>
      </c>
    </row>
    <row r="8">
      <c r="A8" s="2" t="n">
        <v>7</v>
      </c>
      <c r="B8" s="2" t="inlineStr">
        <is>
          <t>Thực thi ≥5 test case trên thiết bị thật</t>
        </is>
      </c>
      <c r="C8" s="2" t="inlineStr">
        <is>
          <t>5/15</t>
        </is>
      </c>
      <c r="D8" s="8" t="inlineStr">
        <is>
          <t>Đã chạy 6/15</t>
        </is>
      </c>
      <c r="E8" s="2" t="inlineStr">
        <is>
          <t>TC10, TC11, TC12, TC13, TC14, TC15</t>
        </is>
      </c>
    </row>
    <row r="9">
      <c r="A9" s="2" t="n">
        <v>8</v>
      </c>
      <c r="B9" s="2" t="inlineStr">
        <is>
          <t>Quay ≥5 video ≤60s CÓ GIỌNG NÓI của sinh viên</t>
        </is>
      </c>
      <c r="C9" s="2" t="inlineStr">
        <is>
          <t>5 video</t>
        </is>
      </c>
      <c r="D9" s="3" t="inlineStr">
        <is>
          <t>Chưa làm</t>
        </is>
      </c>
      <c r="E9" s="2" t="inlineStr">
        <is>
          <t>KHÔNG được dùng giọng AI — xem R3_video_plan.md</t>
        </is>
      </c>
    </row>
    <row r="10">
      <c r="A10" s="2" t="n">
        <v>9</v>
      </c>
      <c r="B10" s="2" t="inlineStr">
        <is>
          <t>Upload YouTube Unlisted</t>
        </is>
      </c>
      <c r="C10" s="2" t="inlineStr">
        <is>
          <t>5 link</t>
        </is>
      </c>
      <c r="D10" s="3" t="inlineStr">
        <is>
          <t>Chưa làm</t>
        </is>
      </c>
      <c r="E10" s="2" t="inlineStr">
        <is>
          <t>Drive chỉ dùng khi YouTube chặn bản quyền</t>
        </is>
      </c>
    </row>
    <row r="11">
      <c r="A11" s="2" t="n">
        <v>10</v>
      </c>
      <c r="B11" s="2" t="inlineStr">
        <is>
          <t>Tìm ≥5 defect từ thiết bị</t>
        </is>
      </c>
      <c r="C11" s="2" t="inlineStr">
        <is>
          <t>5 defect</t>
        </is>
      </c>
      <c r="D11" s="3" t="inlineStr">
        <is>
          <t>Mới có 3</t>
        </is>
      </c>
      <c r="E11" s="2" t="inlineStr">
        <is>
          <t>DEF-04, DEF-05 xem R3_bug_reports.md</t>
        </is>
      </c>
    </row>
    <row r="12">
      <c r="A12" s="2" t="n">
        <v>11</v>
      </c>
      <c r="B12" s="2" t="inlineStr">
        <is>
          <t>Log defect thành GitHub Issues</t>
        </is>
      </c>
      <c r="C12" s="2" t="inlineStr">
        <is>
          <t>5 issue</t>
        </is>
      </c>
      <c r="D12" s="3" t="inlineStr">
        <is>
          <t>Chưa làm</t>
        </is>
      </c>
      <c r="E12" s="2" t="inlineStr">
        <is>
          <t>Repo của chính sinh viên</t>
        </is>
      </c>
    </row>
    <row r="13">
      <c r="A13" s="2" t="n">
        <v>12</v>
      </c>
      <c r="B13" s="2" t="inlineStr">
        <is>
          <t>Ảnh trang Issues hiện GitHub username</t>
        </is>
      </c>
      <c r="C13" s="2" t="inlineStr">
        <is>
          <t>Screenshot</t>
        </is>
      </c>
      <c r="D13" s="3" t="inlineStr">
        <is>
          <t>Chưa làm</t>
        </is>
      </c>
      <c r="E13" s="2" t="inlineStr"/>
    </row>
    <row r="14">
      <c r="A14" s="2" t="n">
        <v>13</v>
      </c>
      <c r="B14" s="2" t="inlineStr">
        <is>
          <t>Test Summary Report</t>
        </is>
      </c>
      <c r="C14" s="2" t="inlineStr">
        <is>
          <t>Sheet trong file này</t>
        </is>
      </c>
      <c r="D14" s="8" t="inlineStr">
        <is>
          <t>Xong khung</t>
        </is>
      </c>
      <c r="E14" s="2" t="inlineStr">
        <is>
          <t>Điền số liệu sau khi chạy hết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8" customWidth="1" min="1" max="1"/>
    <col width="92" customWidth="1" min="2" max="2"/>
  </cols>
  <sheetData>
    <row r="1">
      <c r="A1" s="9" t="inlineStr">
        <is>
          <t>TEST SUMMARY REPORT — HW01 Requirement 3</t>
        </is>
      </c>
      <c r="B1" s="10" t="inlineStr"/>
    </row>
    <row r="2">
      <c r="A2" s="10" t="inlineStr"/>
      <c r="B2" s="10" t="inlineStr"/>
    </row>
    <row r="3">
      <c r="A3" s="10" t="inlineStr">
        <is>
          <t>Sinh viên</t>
        </is>
      </c>
      <c r="B3" s="10" t="inlineStr">
        <is>
          <t>Trương Nhật Đạt — 23120231 — CQ2023/31</t>
        </is>
      </c>
    </row>
    <row r="4">
      <c r="A4" s="10" t="inlineStr">
        <is>
          <t>Môn</t>
        </is>
      </c>
      <c r="B4" s="10" t="inlineStr">
        <is>
          <t>CS423 / CSC13003 — Software Testing (AI-augmented · 2026)</t>
        </is>
      </c>
    </row>
    <row r="5">
      <c r="A5" s="10" t="inlineStr"/>
      <c r="B5" s="10" t="inlineStr"/>
    </row>
    <row r="6">
      <c r="A6" s="11" t="inlineStr">
        <is>
          <t>THIẾT BỊ KIỂM THỬ</t>
        </is>
      </c>
      <c r="B6" s="10" t="inlineStr"/>
    </row>
    <row r="7">
      <c r="A7" s="10" t="inlineStr">
        <is>
          <t>Loại thiết bị</t>
        </is>
      </c>
      <c r="B7" s="10" t="inlineStr">
        <is>
          <t>Quạt bàn (table fan), điều khiển cơ 3 cấp</t>
        </is>
      </c>
    </row>
    <row r="8">
      <c r="A8" s="10" t="inlineStr">
        <is>
          <t>Hãng</t>
        </is>
      </c>
      <c r="B8" s="10" t="inlineStr">
        <is>
          <t>SENKO — Công ty TNHH Tân Tiến Senko, KCN Tân Tạo, Bình Tân, TP.HCM</t>
        </is>
      </c>
    </row>
    <row r="9">
      <c r="A9" s="10" t="inlineStr">
        <is>
          <t>Model</t>
        </is>
      </c>
      <c r="B9" s="10" t="inlineStr">
        <is>
          <t>Ghi trên tem là "QUẠT BÀN", đường kính cánh 29 cm. Tem không in mã model riêng.</t>
        </is>
      </c>
    </row>
    <row r="10">
      <c r="A10" s="10" t="inlineStr">
        <is>
          <t>Năm sản xuất</t>
        </is>
      </c>
      <c r="B10" s="10" t="inlineStr">
        <is>
          <t>Tháng SX 07-2022 (Lô SX: 107)</t>
        </is>
      </c>
    </row>
    <row r="11">
      <c r="A11" s="10" t="inlineStr">
        <is>
          <t>Serial (che 4 ký tự giữa)</t>
        </is>
      </c>
      <c r="B11" s="10" t="inlineStr">
        <is>
          <t>Thiết bị KHÔNG có số serial riêng. Định danh khả dụng: Lô SX 107, tháng SX 07-2022. QUACERT 0028-22.</t>
        </is>
      </c>
    </row>
    <row r="12">
      <c r="A12" s="10" t="inlineStr">
        <is>
          <t>Nguồn điện</t>
        </is>
      </c>
      <c r="B12" s="10" t="inlineStr">
        <is>
          <t>220V / 50Hz / 40W</t>
        </is>
      </c>
    </row>
    <row r="13">
      <c r="A13" s="10" t="inlineStr">
        <is>
          <t>Chức năng</t>
        </is>
      </c>
      <c r="B13" s="10" t="inlineStr">
        <is>
          <t>3 cấp gió + phím 0, tuốc năng đảo gió, khớp gập cổ, lồng bảo vệ 96 nan + 1 vòng giữa</t>
        </is>
      </c>
    </row>
    <row r="14">
      <c r="A14" s="10" t="inlineStr">
        <is>
          <t>Không có</t>
        </is>
      </c>
      <c r="B14" s="10" t="inlineStr">
        <is>
          <t>Hẹn giờ, remote, chế độ gió</t>
        </is>
      </c>
    </row>
    <row r="15">
      <c r="A15" t="inlineStr">
        <is>
          <t>Tiêu chuẩn nhà SX công bố</t>
        </is>
      </c>
      <c r="B15" t="inlineStr">
        <is>
          <t>TCVN 5699-2-80:2007 (IEC 60335-2-80:2005); QCVN 4:2009/BKHCN và sửa đổi 1:2016</t>
        </is>
      </c>
    </row>
    <row r="16">
      <c r="A16" t="inlineStr">
        <is>
          <t>Cấp chống giật điện</t>
        </is>
      </c>
      <c r="B16" t="inlineStr">
        <is>
          <t>Cấp 0 — không có dây tiếp địa bảo vệ, chỉ dựa vào cách điện cơ bản</t>
        </is>
      </c>
    </row>
    <row r="17">
      <c r="A17" t="inlineStr">
        <is>
          <t>Cấp cách điện / nhiệt</t>
        </is>
      </c>
      <c r="B17" t="inlineStr">
        <is>
          <t>Cấp E; độ tăng nhiệt cuộn dây tối đa 70 độ C</t>
        </is>
      </c>
    </row>
    <row r="18">
      <c r="A18" t="inlineStr">
        <is>
          <t>Chứng nhận khác</t>
        </is>
      </c>
      <c r="B18" t="inlineStr">
        <is>
          <t>ISO 9001:2015; Hàng Việt Nam Chất lượng cao 2022; bảo hành động cơ 24 tháng</t>
        </is>
      </c>
    </row>
    <row r="19">
      <c r="A19" s="10" t="inlineStr"/>
      <c r="B19" s="10" t="inlineStr"/>
    </row>
    <row r="20">
      <c r="A20" s="11" t="inlineStr">
        <is>
          <t>MÔI TRƯỜNG KIỂM THỬ</t>
        </is>
      </c>
      <c r="B20" s="10" t="inlineStr"/>
    </row>
    <row r="21">
      <c r="A21" s="10" t="inlineStr">
        <is>
          <t>Địa điểm</t>
        </is>
      </c>
      <c r="B21" s="10" t="inlineStr">
        <is>
          <t>&lt;ĐIỀN&gt;</t>
        </is>
      </c>
    </row>
    <row r="22">
      <c r="A22" s="10" t="inlineStr">
        <is>
          <t>Ngày kiểm thử</t>
        </is>
      </c>
      <c r="B22" s="10" t="inlineStr">
        <is>
          <t>&lt;ĐIỀN&gt;</t>
        </is>
      </c>
    </row>
    <row r="23">
      <c r="A23" s="10" t="inlineStr">
        <is>
          <t>Dụng cụ hỗ trợ</t>
        </is>
      </c>
      <c r="B23" s="10" t="inlineStr">
        <is>
          <t>Điện thoại (quay video, app đo dB), dải giấy, thước, bút đánh dấu, đồng xu, băng keo giấy</t>
        </is>
      </c>
    </row>
    <row r="24">
      <c r="A24" s="10" t="inlineStr"/>
      <c r="B24" s="10" t="inlineStr"/>
    </row>
    <row r="25">
      <c r="A25" s="11" t="inlineStr">
        <is>
          <t>KẾT QUẢ</t>
        </is>
      </c>
      <c r="B25" s="10" t="inlineStr"/>
    </row>
    <row r="26">
      <c r="A26" s="10" t="inlineStr">
        <is>
          <t>Tổng số test case</t>
        </is>
      </c>
      <c r="B26" s="10" t="n">
        <v>15</v>
      </c>
    </row>
    <row r="27">
      <c r="A27" s="10" t="inlineStr">
        <is>
          <t>Đã thực thi</t>
        </is>
      </c>
      <c r="B27" s="10">
        <f>COUNTIF('Test Cases'!H2:H16,"Pass")+COUNTIF('Test Cases'!H2:H16,"Fail")</f>
        <v/>
      </c>
    </row>
    <row r="28">
      <c r="A28" s="10" t="inlineStr">
        <is>
          <t>Pass</t>
        </is>
      </c>
      <c r="B28" s="10">
        <f>COUNTIF('Test Cases'!H2:H16,"Pass")</f>
        <v/>
      </c>
    </row>
    <row r="29">
      <c r="A29" s="10" t="inlineStr">
        <is>
          <t>Fail</t>
        </is>
      </c>
      <c r="B29" s="10">
        <f>COUNTIF('Test Cases'!H2:H16,"Fail")</f>
        <v/>
      </c>
    </row>
    <row r="30">
      <c r="A30" s="10" t="inlineStr">
        <is>
          <t>Chưa chạy</t>
        </is>
      </c>
      <c r="B30" s="10">
        <f>COUNTIF('Test Cases'!H2:H16,"Chưa chạy")</f>
        <v/>
      </c>
    </row>
    <row r="31">
      <c r="A31" s="10" t="inlineStr">
        <is>
          <t>Tỉ lệ Pass trên số đã chạy</t>
        </is>
      </c>
      <c r="B31" s="10">
        <f>IF(B23=0,0,B24/B23)</f>
        <v/>
      </c>
    </row>
    <row r="32">
      <c r="A32" s="10" t="inlineStr"/>
      <c r="B32" s="10" t="inlineStr"/>
    </row>
    <row r="33">
      <c r="A33" s="11" t="inlineStr">
        <is>
          <t>DEFECT</t>
        </is>
      </c>
      <c r="B33" s="10" t="inlineStr"/>
    </row>
    <row r="34">
      <c r="A34" s="10" t="inlineStr">
        <is>
          <t>Tổng số defect</t>
        </is>
      </c>
      <c r="B34" s="10" t="inlineStr">
        <is>
          <t>&lt;ĐIỀN sau khi chạy hết&gt;</t>
        </is>
      </c>
    </row>
    <row r="35">
      <c r="A35" s="10" t="inlineStr">
        <is>
          <t>Critical / High / Medium / Low</t>
        </is>
      </c>
      <c r="B35" s="10" t="inlineStr">
        <is>
          <t>&lt;ĐIỀN&gt;</t>
        </is>
      </c>
    </row>
    <row r="36">
      <c r="A36" s="10" t="inlineStr">
        <is>
          <t>Link GitHub Issues</t>
        </is>
      </c>
      <c r="B36" s="10" t="inlineStr">
        <is>
          <t>&lt;ĐIỀN&gt;</t>
        </is>
      </c>
    </row>
    <row r="37">
      <c r="A37" s="10" t="inlineStr"/>
      <c r="B37" s="10" t="inlineStr"/>
    </row>
    <row r="38">
      <c r="A38" s="11" t="inlineStr">
        <is>
          <t>NGUỒN GỐC TEST CASE</t>
        </is>
      </c>
      <c r="B38" s="10" t="inlineStr"/>
    </row>
    <row r="39">
      <c r="A39" s="10" t="inlineStr">
        <is>
          <t>Gemini Flash-Lite sinh ra</t>
        </is>
      </c>
      <c r="B39" s="10" t="inlineStr">
        <is>
          <t>5 được giữ lại (TC01, TC02, TC03, TC05, TC07)</t>
        </is>
      </c>
    </row>
    <row r="40" ht="92" customHeight="1">
      <c r="A40" s="10" t="inlineStr">
        <is>
          <t>Claude bổ sung</t>
        </is>
      </c>
      <c r="B40" s="10" t="inlineStr">
        <is>
          <t>3 (TC06 thay test không an toàn; TC16, TC17)</t>
        </is>
      </c>
    </row>
    <row r="41" ht="92" customHeight="1">
      <c r="A41" s="10" t="inlineStr">
        <is>
          <t>Sinh viên tự bổ sung</t>
        </is>
      </c>
      <c r="B41" s="10" t="inlineStr">
        <is>
          <t>7 (TC09 - TC15)</t>
        </is>
      </c>
    </row>
    <row r="42" ht="92" customHeight="1">
      <c r="A42" s="10" t="inlineStr">
        <is>
          <t>Edge case AI KHÔNG tìm ra</t>
        </is>
      </c>
      <c r="B42" s="10" t="inlineStr">
        <is>
          <t>3 (TC10, TC13, TC14)</t>
        </is>
      </c>
    </row>
    <row r="43">
      <c r="A43" s="10" t="inlineStr"/>
      <c r="B43" s="10" t="inlineStr"/>
    </row>
    <row r="44">
      <c r="A44" s="11" t="inlineStr">
        <is>
          <t>TEST CASE ĐÃ LOẠI KHỎI BỘ 15 VÀ LÝ DO</t>
        </is>
      </c>
      <c r="B44" s="10" t="inlineStr"/>
    </row>
    <row r="45">
      <c r="A45" s="10" t="inlineStr">
        <is>
          <t>TC06 gốc của Gemini — Locked Rotor Test</t>
        </is>
      </c>
      <c r="B45" s="10" t="inlineStr">
        <is>
          <t>LOẠI VÌ NGUY HIỂM. Gemini đề xuất chèn cứng cánh quạt rồi cấp điện số 3 liên tục 30-60 phút để thử cầu chì nhiệt. Rotor kẹt làm dòng tăng vọt và dồn nhiệt vào cuộn dây; quạt gia dụng có thể không còn cầu chì nhiệt hiệu lực. Đây là thử nghiệm phá huỷ, chỉ thực hiện trong phòng thí nghiệm có thiết bị chống cháy. Thay bằng TC06 đo độ ồn.</t>
        </is>
      </c>
    </row>
    <row r="46">
      <c r="A46" s="10" t="inlineStr">
        <is>
          <t>TC04 của Gemini — nhấn đồng thời 2 phím</t>
        </is>
      </c>
      <c r="B46" s="10" t="inlineStr">
        <is>
          <t>LOẠI VÌ GIÁ TRỊ THẤP. Cơ cấu cam của công tắc cơ chỉ cho một phím khoá tại một thời điểm, khả năng phát hiện lỗi rất thấp. TC10 (bấm nối tiếp nhanh) kiểm cùng cụm công tắc nhưng đã phát hiện được lỗi thật.</t>
        </is>
      </c>
    </row>
    <row r="47">
      <c r="A47" s="10" t="inlineStr">
        <is>
          <t>TC08 của Gemini — đặt nghiêng 10 độ</t>
        </is>
      </c>
      <c r="B47" s="10" t="inlineStr">
        <is>
          <t>LOẠI VÌ GIÁ TRỊ THẤP VÀ RỦI RO ĐỔ THIẾT BỊ. TC17 (rung và tự dịch chuyển khi chạy số 3) kiểm tra độ ổn định theo cách sát thực tế sử dụng hơn.</t>
        </is>
      </c>
    </row>
    <row r="48">
      <c r="A48" s="10" t="inlineStr"/>
      <c r="B48" s="10" t="inlineStr"/>
    </row>
    <row r="49">
      <c r="A49" s="10" t="inlineStr">
        <is>
          <t>KẾT LUẬN</t>
        </is>
      </c>
      <c r="B49" s="10" t="inlineStr">
        <is>
          <t>&lt;ĐIỀN 3-5 câu: thiết bị có an toàn để tiếp tục sử dụng không, defect nào nghiêm trọng nhất, khuyến nghị&gt;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2026-09-25T07:13:16Z</dcterms:created>
  <dcterms:modified xmlns:dcterms="http://purl.org/dc/terms/" xmlns:xsi="http://www.w3.org/2001/XMLSchema-instance" xsi:type="dcterms:W3CDTF">2026-09-25T07:22:03Z</dcterms:modified>
</cp:coreProperties>
</file>